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react-dashboard\public\"/>
    </mc:Choice>
  </mc:AlternateContent>
  <xr:revisionPtr revIDLastSave="0" documentId="8_{D7945A69-D3A9-4C9F-83A7-2F7DD2CDB245}" xr6:coauthVersionLast="47" xr6:coauthVersionMax="47" xr10:uidLastSave="{00000000-0000-0000-0000-000000000000}"/>
  <bookViews>
    <workbookView xWindow="-110" yWindow="-110" windowWidth="19420" windowHeight="10300" xr2:uid="{A84F3B0C-38C0-48BC-9F5C-D5D8FB5658CD}"/>
  </bookViews>
  <sheets>
    <sheet name="Priority Summary" sheetId="1" r:id="rId1"/>
  </sheets>
  <definedNames>
    <definedName name="_xlnm._FilterDatabase" localSheetId="0" hidden="1">'Priority Summary'!$A$3:$XEU$27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'Priority Summary'!$A$3:$X$122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8" i="1" l="1"/>
  <c r="F116" i="1"/>
  <c r="F7" i="1"/>
  <c r="F6" i="1"/>
  <c r="F4" i="1"/>
  <c r="J2" i="1"/>
  <c r="I2" i="1"/>
  <c r="H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tc={A2F537FD-FD9A-467B-942F-BCF3AA1E91A5}</author>
  </authors>
  <commentList>
    <comment ref="E38" authorId="0" shapeId="0" xr:uid="{A2F537FD-FD9A-467B-942F-BCF3AA1E91A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find info</t>
      </text>
    </comment>
  </commentList>
</comments>
</file>

<file path=xl/sharedStrings.xml><?xml version="1.0" encoding="utf-8"?>
<sst xmlns="http://schemas.openxmlformats.org/spreadsheetml/2006/main" count="192" uniqueCount="118">
  <si>
    <t>PT Lead</t>
  </si>
  <si>
    <t>Support</t>
  </si>
  <si>
    <t>Tier</t>
  </si>
  <si>
    <t>Land Owner</t>
  </si>
  <si>
    <t>Project Name</t>
  </si>
  <si>
    <t>Overall Project Score</t>
  </si>
  <si>
    <t>Transactability Score</t>
  </si>
  <si>
    <t>Env Score</t>
  </si>
  <si>
    <t>IX Score</t>
  </si>
  <si>
    <t>I&amp;C Score</t>
  </si>
  <si>
    <t>Redev Score</t>
  </si>
  <si>
    <t>Notes on "0" Score</t>
  </si>
  <si>
    <t>Initial Valuation</t>
  </si>
  <si>
    <t>Stage Gate</t>
  </si>
  <si>
    <t>Land Control</t>
  </si>
  <si>
    <t>Number of Sites</t>
  </si>
  <si>
    <t>Energy Market</t>
  </si>
  <si>
    <t>Location</t>
  </si>
  <si>
    <t>Site Acres</t>
  </si>
  <si>
    <t>Base Case Technology</t>
  </si>
  <si>
    <t>Base Case Capacity</t>
  </si>
  <si>
    <t>Base Case COD</t>
  </si>
  <si>
    <t>Objective</t>
  </si>
  <si>
    <t>Next Key Milestones</t>
  </si>
  <si>
    <t>Weekly Priority Tasks</t>
  </si>
  <si>
    <t>Contextual Comments or Notes</t>
  </si>
  <si>
    <t>RB</t>
  </si>
  <si>
    <t>TBD</t>
  </si>
  <si>
    <t>Talen</t>
  </si>
  <si>
    <t>Dartmouth Power Associates LP</t>
  </si>
  <si>
    <t>P</t>
  </si>
  <si>
    <t>Y</t>
  </si>
  <si>
    <t>Dartmouth, MA</t>
  </si>
  <si>
    <t>[25]</t>
  </si>
  <si>
    <t>Emily Kraus</t>
  </si>
  <si>
    <t>Closed</t>
  </si>
  <si>
    <t>10/6/25:</t>
  </si>
  <si>
    <t>Signed</t>
  </si>
  <si>
    <t>pb</t>
  </si>
  <si>
    <t>Ann</t>
  </si>
  <si>
    <t>BPU</t>
  </si>
  <si>
    <t>Quindaro (Thermal)</t>
  </si>
  <si>
    <t>SPP</t>
  </si>
  <si>
    <t>Kansas City, KS</t>
  </si>
  <si>
    <t>Dual Fuel Recips</t>
  </si>
  <si>
    <t>Build and Operate Power Facility Under Long Term Offtake Agreement</t>
  </si>
  <si>
    <t>Secure Offtake Agreement
(1Q 2026)</t>
  </si>
  <si>
    <t xml:space="preserve">- Finalize EPC Outreach 
- Kick off air permitting strategy work 
- Advance procurement strategy
- Submit intake forms to gas suppliers 
</t>
  </si>
  <si>
    <t xml:space="preserve">- Entered ERAS process on Oct 17
- This week we - 
- Met with KDHE on known spill issues; KDHE assured PT/BPU that they can work on our timeline
- Outreach to EPCs and met with Kewitt
-  Advanced contracting with Daelim </t>
  </si>
  <si>
    <t>-</t>
  </si>
  <si>
    <t>NorthStar</t>
  </si>
  <si>
    <t>Yankee (BESS)</t>
  </si>
  <si>
    <t>ISONE</t>
  </si>
  <si>
    <t>Vernon VT</t>
  </si>
  <si>
    <t>BESS</t>
  </si>
  <si>
    <t>Build and Operate BESS Facility</t>
  </si>
  <si>
    <t>LOI on Offtake
(1H 2026)</t>
  </si>
  <si>
    <t>- Receive and review Eversource Interconnection assessment on VT to MA 345kV potential 
- Advance commercial discussions (dependent on task 1)</t>
  </si>
  <si>
    <r>
      <t xml:space="preserve"> - Met with Eversource to discuss potential MA offtake on 9/19. Eversource to conduct a  assessment to determine feasibility and capacity on their 345kV line. Once project potential confirmed, parties to discuss commericial opportunity. </t>
    </r>
    <r>
      <rPr>
        <b/>
        <sz val="12"/>
        <rFont val="Calibri"/>
        <family val="2"/>
        <scheme val="minor"/>
      </rPr>
      <t>Eversource has not responded to two subsequent emails.</t>
    </r>
  </si>
  <si>
    <t>Camden Plant Holding LLC</t>
  </si>
  <si>
    <t>Camden, NJ</t>
  </si>
  <si>
    <t>Quindaro (Data Center)</t>
  </si>
  <si>
    <t>Powered Land</t>
  </si>
  <si>
    <t>2026 (sale/lease)</t>
  </si>
  <si>
    <t>Sale or lease of powered land to 3rd party data center developer</t>
  </si>
  <si>
    <t>Market Site
(10/31/2025)</t>
  </si>
  <si>
    <t xml:space="preserve">- Finalize teaser video and landing page and circulate to interested buyers
- Discuss terms with BPU on "priority load" opportunity  [This is the $2m for queue position 1 on load]
</t>
  </si>
  <si>
    <t>- Advanced marketing materials with consultants incl video, teaser, letter, NDA to near final status</t>
  </si>
  <si>
    <t>BP</t>
  </si>
  <si>
    <t>BP Sites</t>
  </si>
  <si>
    <t>N</t>
  </si>
  <si>
    <t>WECC, MISO, SPP</t>
  </si>
  <si>
    <t>OR, WA, MO, IL</t>
  </si>
  <si>
    <t>Thermal/Powered Land</t>
  </si>
  <si>
    <t>Idenitfy and capture thermal/powered land opportunities at BP brownfield sites</t>
  </si>
  <si>
    <t xml:space="preserve">Finalize Project Concept (10/31/2025)  </t>
  </si>
  <si>
    <t>- Call with BP on brownfield sites to confirm alignment on 10/29</t>
  </si>
  <si>
    <t xml:space="preserve">- PT team (Jason, PB, and Ann) reviewed sites and engaged BP for key details on priority opportunities. </t>
  </si>
  <si>
    <t>Alliance</t>
  </si>
  <si>
    <t>Massena</t>
  </si>
  <si>
    <t>NYISO</t>
  </si>
  <si>
    <t>Massena, NY</t>
  </si>
  <si>
    <t>Hilburn</t>
  </si>
  <si>
    <t>Hillburn, NY</t>
  </si>
  <si>
    <t>Shoemaker</t>
  </si>
  <si>
    <t>Middletown, NY</t>
  </si>
  <si>
    <t>rb</t>
  </si>
  <si>
    <t>Bill Gross</t>
  </si>
  <si>
    <t>Camelot (Thermal)</t>
  </si>
  <si>
    <t>SERC</t>
  </si>
  <si>
    <t>Kingsland, GA</t>
  </si>
  <si>
    <t>Thermal</t>
  </si>
  <si>
    <t>1H 2029</t>
  </si>
  <si>
    <t>Build and operate thermal plant to support capacity needs in OREMC territory</t>
  </si>
  <si>
    <t>- Execute JDA (week of 10/27)
- Complete Stage Gate 1</t>
  </si>
  <si>
    <t>- Finalize and execute JDA
- Progress offtake discussions w/ OREMC and Morgan Stanley
- Progress thermal site search and initial site assessments</t>
  </si>
  <si>
    <t>- PT team met w/ Bill Gross 10/16 to discuss progress; Bill Gross finalizing property title documentation and entity certificates (prep for execution of JDA); Supports plan to search for additional sites in OREMC territory for gas plant development</t>
  </si>
  <si>
    <t>Camelot (Data Center)</t>
  </si>
  <si>
    <t>Provide data center or other load-intensive customer w/ powered land solutions</t>
  </si>
  <si>
    <t>- Execute JDA &amp; Secure Site Control (week of 10/27)</t>
  </si>
  <si>
    <t>- Finalize and execute JDA
- No other priorities scheduled</t>
  </si>
  <si>
    <t>National Fuel</t>
  </si>
  <si>
    <t>National Fuel Sites</t>
  </si>
  <si>
    <t>PJM, NYISO</t>
  </si>
  <si>
    <t>OH, PA, NY</t>
  </si>
  <si>
    <t>Thermal / Powered Land</t>
  </si>
  <si>
    <t>Identify and capture thermal / powered land opportunities at National Fuel sites</t>
  </si>
  <si>
    <t>Finalize Project Concept - Stage Gate 0 (by EOY) for Selected Sites</t>
  </si>
  <si>
    <t>- Finalizing initial assessment of sites (20 total) to determine which opportunities PT wants to pursue for thermal / powered land development</t>
  </si>
  <si>
    <t>- Introduction to National Fuel (9/26)
- Controls 20 sites across PJM and NYISO w/ strategic gas supply advantages
- Seeking partner for development of sites
- Sent status update to National Fuel on 10/20</t>
  </si>
  <si>
    <t>GE</t>
  </si>
  <si>
    <t>Parlin</t>
  </si>
  <si>
    <t>rob</t>
  </si>
  <si>
    <t>Georgia</t>
  </si>
  <si>
    <t>Total</t>
  </si>
  <si>
    <t>Hillburn</t>
  </si>
  <si>
    <t>Jim</t>
  </si>
  <si>
    <t>BP Whiting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</si>
</sst>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3" tint="0.249977111117893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sz val="12"/>
      <color rgb="FFFF0000"/>
      <name val="Calibri (Body)"/>
    </font>
    <font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0F397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</cellStyleXfs>
  <cellXfs count="50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9" fontId="5" fillId="0" borderId="0" xfId="4" applyNumberFormat="1" applyFont="1" applyAlignment="1">
      <alignment horizontal="center"/>
    </xf>
    <xf numFmtId="9" fontId="5" fillId="0" borderId="0" xfId="4" applyNumberFormat="1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3" fontId="4" fillId="0" borderId="0" xfId="1" applyFont="1" applyAlignment="1">
      <alignment horizontal="center" vertical="center" wrapText="1"/>
    </xf>
    <xf numFmtId="37" fontId="3" fillId="0" borderId="0" xfId="1" applyNumberFormat="1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10" fontId="3" fillId="0" borderId="0" xfId="2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center" wrapText="1"/>
    </xf>
    <xf numFmtId="43" fontId="4" fillId="0" borderId="0" xfId="1" applyFont="1" applyBorder="1" applyAlignment="1">
      <alignment horizontal="center" vertical="center" wrapText="1"/>
    </xf>
    <xf numFmtId="0" fontId="13" fillId="0" borderId="0" xfId="3" applyFont="1" applyBorder="1" applyAlignment="1">
      <alignment horizontal="center" vertical="center" wrapText="1"/>
    </xf>
    <xf numFmtId="37" fontId="3" fillId="0" borderId="0" xfId="1" applyNumberFormat="1" applyFont="1" applyBorder="1" applyAlignment="1">
      <alignment horizontal="center" vertical="center" wrapText="1"/>
    </xf>
    <xf numFmtId="10" fontId="3" fillId="0" borderId="0" xfId="2" applyNumberFormat="1" applyFont="1" applyBorder="1" applyAlignment="1">
      <alignment horizontal="center" vertical="center" wrapText="1"/>
    </xf>
    <xf numFmtId="0" fontId="6" fillId="0" borderId="0" xfId="0" quotePrefix="1" applyFont="1" applyAlignment="1">
      <alignment horizontal="left" vertical="top" wrapText="1"/>
    </xf>
    <xf numFmtId="0" fontId="3" fillId="0" borderId="0" xfId="0" quotePrefix="1" applyFont="1" applyAlignment="1">
      <alignment horizontal="center" vertical="center" wrapText="1"/>
    </xf>
    <xf numFmtId="37" fontId="3" fillId="0" borderId="0" xfId="1" applyNumberFormat="1" applyFont="1" applyFill="1" applyBorder="1" applyAlignment="1">
      <alignment horizontal="center" vertical="center" wrapText="1"/>
    </xf>
    <xf numFmtId="10" fontId="3" fillId="0" borderId="0" xfId="2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7" fontId="3" fillId="0" borderId="2" xfId="1" applyNumberFormat="1" applyFont="1" applyBorder="1" applyAlignment="1">
      <alignment horizontal="center" vertical="center" wrapText="1"/>
    </xf>
    <xf numFmtId="37" fontId="3" fillId="0" borderId="2" xfId="0" applyNumberFormat="1" applyFont="1" applyBorder="1" applyAlignment="1">
      <alignment horizontal="center" vertical="center" wrapText="1"/>
    </xf>
    <xf numFmtId="10" fontId="3" fillId="0" borderId="2" xfId="2" applyNumberFormat="1" applyFont="1" applyBorder="1" applyAlignment="1">
      <alignment horizontal="center" vertical="center" wrapText="1"/>
    </xf>
    <xf numFmtId="37" fontId="3" fillId="0" borderId="2" xfId="1" applyNumberFormat="1" applyFont="1" applyFill="1" applyBorder="1" applyAlignment="1">
      <alignment horizontal="center" vertical="center" wrapText="1"/>
    </xf>
    <xf numFmtId="10" fontId="3" fillId="0" borderId="2" xfId="2" applyNumberFormat="1" applyFont="1" applyFill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4" fillId="0" borderId="0" xfId="0" quotePrefix="1" applyFont="1" applyAlignment="1">
      <alignment horizontal="left" vertical="top" wrapText="1"/>
    </xf>
    <xf numFmtId="0" fontId="13" fillId="0" borderId="0" xfId="3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7" fontId="3" fillId="3" borderId="0" xfId="1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0" fontId="3" fillId="3" borderId="0" xfId="2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10" fontId="3" fillId="0" borderId="0" xfId="2" applyNumberFormat="1" applyFont="1" applyFill="1" applyAlignment="1">
      <alignment horizontal="center" vertical="center" wrapText="1"/>
    </xf>
    <xf numFmtId="37" fontId="3" fillId="0" borderId="0" xfId="1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right" vertical="center" wrapText="1"/>
    </xf>
  </cellXfs>
  <cellStyles count="5">
    <cellStyle name="Comma" xfId="1" builtinId="3"/>
    <cellStyle name="Hyperlink" xfId="3" builtinId="8"/>
    <cellStyle name="Normal" xfId="0" builtinId="0"/>
    <cellStyle name="Normal 6" xfId="4" xr:uid="{E0D59998-A556-4B7F-B4BF-9A289B8EC35B}"/>
    <cellStyle name="Percent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rian King" id="{CCE050AA-E430-4208-9403-61481C78F85A}" userId="S::dking@power-transitions.com::df31309c-e8c4-40a2-af77-5538f158263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8" dT="2025-03-18T21:46:55.16" personId="{CCE050AA-E430-4208-9403-61481C78F85A}" id="{A2F537FD-FD9A-467B-942F-BCF3AA1E91A5}">
    <text>Need to find info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CEC3-B7FA-4C3E-945C-926F2A638737}">
  <sheetPr>
    <pageSetUpPr fitToPage="1"/>
  </sheetPr>
  <dimension ref="A2:XFB121"/>
  <sheetViews>
    <sheetView tabSelected="1" view="pageBreakPreview" zoomScale="90" zoomScaleNormal="72" zoomScaleSheetLayoutView="90" workbookViewId="0">
      <selection activeCell="D4" sqref="D4"/>
    </sheetView>
  </sheetViews>
  <sheetFormatPr defaultColWidth="0" defaultRowHeight="15.5" outlineLevelRow="1" outlineLevelCol="1"/>
  <cols>
    <col min="1" max="1" width="9" style="1" bestFit="1" customWidth="1"/>
    <col min="2" max="2" width="8.08203125" style="1" customWidth="1"/>
    <col min="3" max="3" width="5.08203125" style="1" customWidth="1"/>
    <col min="4" max="4" width="26.08203125" style="1" customWidth="1"/>
    <col min="5" max="5" width="19.08203125" style="2" customWidth="1"/>
    <col min="6" max="6" width="8.58203125" style="2" hidden="1" customWidth="1"/>
    <col min="7" max="11" width="8.58203125" style="2" hidden="1" customWidth="1" outlineLevel="1"/>
    <col min="12" max="12" width="18.58203125" style="2" hidden="1" customWidth="1" outlineLevel="1"/>
    <col min="13" max="13" width="9" style="2" hidden="1" customWidth="1" outlineLevel="1"/>
    <col min="14" max="14" width="11.58203125" style="2" bestFit="1" customWidth="1" collapsed="1"/>
    <col min="15" max="15" width="9" style="2" customWidth="1" outlineLevel="1"/>
    <col min="16" max="16" width="11.5" style="1" bestFit="1" customWidth="1"/>
    <col min="17" max="17" width="13.08203125" style="1" bestFit="1" customWidth="1"/>
    <col min="18" max="18" width="16.58203125" style="1" customWidth="1"/>
    <col min="19" max="19" width="9.58203125" style="1" customWidth="1"/>
    <col min="20" max="20" width="18.08203125" style="1" customWidth="1"/>
    <col min="21" max="21" width="10.08203125" style="1" customWidth="1"/>
    <col min="22" max="22" width="17.58203125" style="1" customWidth="1"/>
    <col min="23" max="23" width="21" style="1" customWidth="1"/>
    <col min="24" max="24" width="26.08203125" style="1" customWidth="1"/>
    <col min="25" max="25" width="34.58203125" style="1" customWidth="1"/>
    <col min="26" max="26" width="48.08203125" style="1" customWidth="1"/>
    <col min="27" max="27" width="0" style="1" hidden="1"/>
    <col min="28" max="16370" width="20.5" style="1" hidden="1"/>
    <col min="16371" max="16382" width="8.08203125" style="1" hidden="1"/>
    <col min="16383" max="16384" width="20.5" style="1" hidden="1"/>
  </cols>
  <sheetData>
    <row r="2" spans="1:26">
      <c r="G2" s="3">
        <f>30%*(1-$K$2)</f>
        <v>0.23249999999999998</v>
      </c>
      <c r="H2" s="3">
        <f>15%*(1-$K$2)</f>
        <v>0.11624999999999999</v>
      </c>
      <c r="I2" s="3">
        <f>25%*(1-$K$2)</f>
        <v>0.19375000000000001</v>
      </c>
      <c r="J2" s="3">
        <f t="shared" ref="J2" si="0">30%*(1-$K$2)</f>
        <v>0.23249999999999998</v>
      </c>
      <c r="K2" s="3">
        <v>0.22500000000000001</v>
      </c>
      <c r="L2" s="4"/>
    </row>
    <row r="3" spans="1:26" s="9" customFormat="1" ht="47" thickBot="1">
      <c r="A3" s="5" t="s">
        <v>0</v>
      </c>
      <c r="B3" s="5" t="s">
        <v>1</v>
      </c>
      <c r="C3" s="6" t="s">
        <v>2</v>
      </c>
      <c r="D3" s="6" t="s">
        <v>3</v>
      </c>
      <c r="E3" s="6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8" t="s">
        <v>10</v>
      </c>
      <c r="L3" s="8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</row>
    <row r="4" spans="1:26" s="5" customFormat="1" ht="31.5" thickTop="1">
      <c r="A4" s="1" t="s">
        <v>26</v>
      </c>
      <c r="B4" s="5" t="s">
        <v>27</v>
      </c>
      <c r="C4" s="1">
        <v>0</v>
      </c>
      <c r="D4" s="10" t="s">
        <v>28</v>
      </c>
      <c r="E4" s="2" t="s">
        <v>29</v>
      </c>
      <c r="F4" s="11">
        <f>AND($G4&gt;0,$H4&gt;0,$I4&gt;0,$J4&gt;0,$K4&gt;0)*SUMPRODUCT(G$2:K$2,G4:K4)</f>
        <v>0</v>
      </c>
      <c r="G4" s="2"/>
      <c r="H4" s="2"/>
      <c r="I4" s="2"/>
      <c r="J4" s="2"/>
      <c r="K4" s="2"/>
      <c r="L4" s="2"/>
      <c r="M4" s="2"/>
      <c r="N4" s="2" t="s">
        <v>30</v>
      </c>
      <c r="O4" s="2" t="s">
        <v>31</v>
      </c>
      <c r="P4" s="1">
        <v>1</v>
      </c>
      <c r="Q4" s="12">
        <v>81</v>
      </c>
      <c r="R4" s="13" t="s">
        <v>32</v>
      </c>
      <c r="S4" s="13" t="s">
        <v>33</v>
      </c>
      <c r="T4" s="14"/>
      <c r="U4" s="1">
        <v>1992</v>
      </c>
      <c r="V4" s="1" t="s">
        <v>34</v>
      </c>
      <c r="W4" s="1"/>
      <c r="X4" s="1" t="s">
        <v>35</v>
      </c>
      <c r="Y4" s="15" t="s">
        <v>36</v>
      </c>
      <c r="Z4" s="1" t="s">
        <v>37</v>
      </c>
    </row>
    <row r="5" spans="1:26" ht="93">
      <c r="A5" s="1" t="s">
        <v>38</v>
      </c>
      <c r="B5" s="1" t="s">
        <v>39</v>
      </c>
      <c r="C5" s="1">
        <v>0</v>
      </c>
      <c r="D5" s="16" t="s">
        <v>40</v>
      </c>
      <c r="E5" s="2" t="s">
        <v>41</v>
      </c>
      <c r="F5" s="17">
        <v>3.65</v>
      </c>
      <c r="G5" s="2">
        <v>4</v>
      </c>
      <c r="L5" s="18"/>
      <c r="M5" s="18"/>
      <c r="N5" s="2">
        <v>3</v>
      </c>
      <c r="O5" s="2" t="s">
        <v>31</v>
      </c>
      <c r="P5" s="1">
        <v>1</v>
      </c>
      <c r="Q5" s="19" t="s">
        <v>42</v>
      </c>
      <c r="R5" s="13" t="s">
        <v>43</v>
      </c>
      <c r="S5" s="13">
        <v>60</v>
      </c>
      <c r="T5" s="20" t="s">
        <v>44</v>
      </c>
      <c r="U5" s="1">
        <v>150</v>
      </c>
      <c r="V5" s="1">
        <v>2028</v>
      </c>
      <c r="W5" s="1" t="s">
        <v>45</v>
      </c>
      <c r="X5" s="1" t="s">
        <v>46</v>
      </c>
      <c r="Y5" s="21" t="s">
        <v>47</v>
      </c>
      <c r="Z5" s="22" t="s">
        <v>48</v>
      </c>
    </row>
    <row r="6" spans="1:26" ht="93">
      <c r="A6" s="1" t="s">
        <v>38</v>
      </c>
      <c r="B6" s="1" t="s">
        <v>49</v>
      </c>
      <c r="C6" s="1">
        <v>0</v>
      </c>
      <c r="D6" s="16" t="s">
        <v>50</v>
      </c>
      <c r="E6" s="2" t="s">
        <v>51</v>
      </c>
      <c r="F6" s="17">
        <f>AND($G6&gt;0,$H6&gt;0,$I6&gt;0,$J6&gt;0,$K6&gt;0)*SUMPRODUCT(G$2:K$2,G6:K6)</f>
        <v>3</v>
      </c>
      <c r="G6" s="2">
        <v>2</v>
      </c>
      <c r="H6" s="2">
        <v>3</v>
      </c>
      <c r="I6" s="2">
        <v>3</v>
      </c>
      <c r="J6" s="2">
        <v>4</v>
      </c>
      <c r="K6" s="2">
        <v>3</v>
      </c>
      <c r="N6" s="2">
        <v>3</v>
      </c>
      <c r="O6" s="2" t="s">
        <v>31</v>
      </c>
      <c r="P6" s="1">
        <v>1</v>
      </c>
      <c r="Q6" s="23" t="s">
        <v>52</v>
      </c>
      <c r="R6" s="13" t="s">
        <v>53</v>
      </c>
      <c r="S6" s="13">
        <v>140</v>
      </c>
      <c r="T6" s="24" t="s">
        <v>54</v>
      </c>
      <c r="U6" s="1">
        <v>440</v>
      </c>
      <c r="V6" s="1">
        <v>2029</v>
      </c>
      <c r="W6" s="1" t="s">
        <v>55</v>
      </c>
      <c r="X6" s="1" t="s">
        <v>56</v>
      </c>
      <c r="Y6" s="21" t="s">
        <v>57</v>
      </c>
      <c r="Z6" s="22" t="s">
        <v>58</v>
      </c>
    </row>
    <row r="7" spans="1:26" ht="31">
      <c r="A7" s="1" t="s">
        <v>26</v>
      </c>
      <c r="B7" s="1" t="s">
        <v>27</v>
      </c>
      <c r="C7" s="1">
        <v>1</v>
      </c>
      <c r="D7" s="16" t="s">
        <v>28</v>
      </c>
      <c r="E7" s="2" t="s">
        <v>59</v>
      </c>
      <c r="F7" s="11">
        <f>AND($G7&gt;0,$H7&gt;0,$I7&gt;0,$J7&gt;0,$K7&gt;0)*SUMPRODUCT(G$2:K$2,G7:K7)</f>
        <v>0</v>
      </c>
      <c r="N7" s="2" t="s">
        <v>30</v>
      </c>
      <c r="O7" s="2" t="s">
        <v>31</v>
      </c>
      <c r="P7" s="1">
        <v>1</v>
      </c>
      <c r="Q7" s="12">
        <v>145</v>
      </c>
      <c r="R7" s="13" t="s">
        <v>60</v>
      </c>
      <c r="S7" s="13"/>
      <c r="T7" s="14"/>
      <c r="U7" s="1">
        <v>1992</v>
      </c>
      <c r="V7" s="1" t="s">
        <v>34</v>
      </c>
      <c r="X7" s="1" t="s">
        <v>35</v>
      </c>
      <c r="Y7" s="15" t="s">
        <v>36</v>
      </c>
      <c r="Z7" s="1" t="s">
        <v>37</v>
      </c>
    </row>
    <row r="8" spans="1:26" ht="93">
      <c r="A8" s="1" t="s">
        <v>38</v>
      </c>
      <c r="B8" s="1" t="s">
        <v>39</v>
      </c>
      <c r="C8" s="1">
        <v>1</v>
      </c>
      <c r="D8" s="16" t="s">
        <v>40</v>
      </c>
      <c r="E8" s="2" t="s">
        <v>61</v>
      </c>
      <c r="F8" s="17">
        <v>3.65</v>
      </c>
      <c r="G8" s="2">
        <v>3</v>
      </c>
      <c r="K8" s="2">
        <v>4</v>
      </c>
      <c r="L8" s="18"/>
      <c r="M8" s="18"/>
      <c r="N8" s="2">
        <v>3</v>
      </c>
      <c r="O8" s="2" t="s">
        <v>31</v>
      </c>
      <c r="P8" s="1">
        <v>1</v>
      </c>
      <c r="Q8" s="19" t="s">
        <v>42</v>
      </c>
      <c r="R8" s="1" t="s">
        <v>43</v>
      </c>
      <c r="S8" s="1">
        <v>60</v>
      </c>
      <c r="T8" s="20" t="s">
        <v>62</v>
      </c>
      <c r="U8" s="1">
        <v>300</v>
      </c>
      <c r="V8" s="1" t="s">
        <v>63</v>
      </c>
      <c r="W8" s="1" t="s">
        <v>64</v>
      </c>
      <c r="X8" s="1" t="s">
        <v>65</v>
      </c>
      <c r="Y8" s="21" t="s">
        <v>66</v>
      </c>
      <c r="Z8" s="22" t="s">
        <v>67</v>
      </c>
    </row>
    <row r="9" spans="1:26" ht="62">
      <c r="A9" s="1" t="s">
        <v>38</v>
      </c>
      <c r="B9" s="1" t="s">
        <v>39</v>
      </c>
      <c r="C9" s="1">
        <v>3</v>
      </c>
      <c r="D9" s="25" t="s">
        <v>68</v>
      </c>
      <c r="E9" s="26" t="s">
        <v>69</v>
      </c>
      <c r="F9" s="27"/>
      <c r="G9" s="26"/>
      <c r="H9" s="26"/>
      <c r="I9" s="26"/>
      <c r="J9" s="26"/>
      <c r="K9" s="26"/>
      <c r="L9" s="26"/>
      <c r="M9" s="26"/>
      <c r="N9" s="26">
        <v>0</v>
      </c>
      <c r="O9" s="26" t="s">
        <v>70</v>
      </c>
      <c r="P9" s="28">
        <v>4</v>
      </c>
      <c r="Q9" s="29" t="s">
        <v>71</v>
      </c>
      <c r="R9" s="30" t="s">
        <v>72</v>
      </c>
      <c r="S9" s="30" t="s">
        <v>27</v>
      </c>
      <c r="T9" s="30" t="s">
        <v>73</v>
      </c>
      <c r="U9" s="28" t="s">
        <v>27</v>
      </c>
      <c r="V9" s="28" t="s">
        <v>27</v>
      </c>
      <c r="W9" s="28" t="s">
        <v>74</v>
      </c>
      <c r="X9" s="28" t="s">
        <v>75</v>
      </c>
      <c r="Y9" s="21" t="s">
        <v>76</v>
      </c>
      <c r="Z9" s="22" t="s">
        <v>77</v>
      </c>
    </row>
    <row r="10" spans="1:26">
      <c r="A10" s="1" t="s">
        <v>26</v>
      </c>
      <c r="B10" s="1" t="s">
        <v>39</v>
      </c>
      <c r="D10" s="25" t="s">
        <v>78</v>
      </c>
      <c r="E10" s="26" t="s">
        <v>79</v>
      </c>
      <c r="F10" s="27"/>
      <c r="G10" s="26"/>
      <c r="H10" s="26"/>
      <c r="I10" s="26"/>
      <c r="J10" s="26"/>
      <c r="K10" s="26"/>
      <c r="L10" s="26"/>
      <c r="M10" s="26"/>
      <c r="N10" s="26">
        <v>0</v>
      </c>
      <c r="O10" s="26" t="s">
        <v>70</v>
      </c>
      <c r="P10" s="28">
        <v>1</v>
      </c>
      <c r="Q10" s="29" t="s">
        <v>80</v>
      </c>
      <c r="R10" s="30" t="s">
        <v>81</v>
      </c>
      <c r="S10" s="30"/>
      <c r="T10" s="31"/>
      <c r="U10" s="28"/>
      <c r="V10" s="28"/>
      <c r="W10" s="28"/>
      <c r="X10" s="28"/>
      <c r="Y10" s="15"/>
    </row>
    <row r="11" spans="1:26">
      <c r="A11" s="1" t="s">
        <v>26</v>
      </c>
      <c r="B11" s="1" t="s">
        <v>39</v>
      </c>
      <c r="D11" s="25" t="s">
        <v>78</v>
      </c>
      <c r="E11" s="26" t="s">
        <v>82</v>
      </c>
      <c r="F11" s="27"/>
      <c r="G11" s="26"/>
      <c r="H11" s="26"/>
      <c r="I11" s="26"/>
      <c r="J11" s="26"/>
      <c r="K11" s="26"/>
      <c r="L11" s="26"/>
      <c r="M11" s="26"/>
      <c r="N11" s="26">
        <v>0</v>
      </c>
      <c r="O11" s="26" t="s">
        <v>70</v>
      </c>
      <c r="P11" s="28">
        <v>1</v>
      </c>
      <c r="Q11" s="29" t="s">
        <v>80</v>
      </c>
      <c r="R11" s="30" t="s">
        <v>83</v>
      </c>
      <c r="S11" s="30"/>
      <c r="T11" s="31"/>
      <c r="U11" s="28"/>
      <c r="V11" s="28"/>
      <c r="W11" s="28"/>
      <c r="X11" s="28"/>
      <c r="Y11" s="15"/>
    </row>
    <row r="12" spans="1:26">
      <c r="A12" s="1" t="s">
        <v>26</v>
      </c>
      <c r="B12" s="1" t="s">
        <v>39</v>
      </c>
      <c r="D12" s="25" t="s">
        <v>78</v>
      </c>
      <c r="E12" s="26" t="s">
        <v>84</v>
      </c>
      <c r="F12" s="27"/>
      <c r="G12" s="26"/>
      <c r="H12" s="26"/>
      <c r="I12" s="26"/>
      <c r="J12" s="26"/>
      <c r="K12" s="26"/>
      <c r="L12" s="26"/>
      <c r="M12" s="26"/>
      <c r="N12" s="26">
        <v>0</v>
      </c>
      <c r="O12" s="26" t="s">
        <v>70</v>
      </c>
      <c r="P12" s="28">
        <v>1</v>
      </c>
      <c r="Q12" s="29" t="s">
        <v>80</v>
      </c>
      <c r="R12" s="30" t="s">
        <v>85</v>
      </c>
      <c r="S12" s="30"/>
      <c r="T12" s="31"/>
      <c r="U12" s="28"/>
      <c r="V12" s="28"/>
      <c r="W12" s="28"/>
      <c r="X12" s="28"/>
      <c r="Y12" s="15"/>
    </row>
    <row r="13" spans="1:26" ht="77.5">
      <c r="A13" s="1" t="s">
        <v>86</v>
      </c>
      <c r="B13" s="1" t="s">
        <v>27</v>
      </c>
      <c r="D13" s="25" t="s">
        <v>87</v>
      </c>
      <c r="E13" s="26" t="s">
        <v>88</v>
      </c>
      <c r="F13" s="27">
        <v>2.5499999999999998</v>
      </c>
      <c r="G13" s="26">
        <v>2</v>
      </c>
      <c r="H13" s="26">
        <v>3</v>
      </c>
      <c r="I13" s="26">
        <v>3</v>
      </c>
      <c r="J13" s="26">
        <v>4</v>
      </c>
      <c r="K13" s="26">
        <v>1</v>
      </c>
      <c r="L13" s="26"/>
      <c r="M13" s="26"/>
      <c r="N13" s="26">
        <v>1</v>
      </c>
      <c r="O13" s="26" t="s">
        <v>70</v>
      </c>
      <c r="P13" s="28">
        <v>1</v>
      </c>
      <c r="Q13" s="32" t="s">
        <v>89</v>
      </c>
      <c r="R13" s="30" t="s">
        <v>90</v>
      </c>
      <c r="S13" s="30">
        <v>600</v>
      </c>
      <c r="T13" s="33" t="s">
        <v>91</v>
      </c>
      <c r="U13" s="28">
        <v>150</v>
      </c>
      <c r="V13" s="28" t="s">
        <v>92</v>
      </c>
      <c r="W13" s="28" t="s">
        <v>93</v>
      </c>
      <c r="X13" s="34" t="s">
        <v>94</v>
      </c>
      <c r="Y13" s="21" t="s">
        <v>95</v>
      </c>
      <c r="Z13" s="35" t="s">
        <v>96</v>
      </c>
    </row>
    <row r="14" spans="1:26" ht="62">
      <c r="A14" s="1" t="s">
        <v>86</v>
      </c>
      <c r="B14" s="1" t="s">
        <v>27</v>
      </c>
      <c r="D14" s="25" t="s">
        <v>87</v>
      </c>
      <c r="E14" s="26" t="s">
        <v>97</v>
      </c>
      <c r="F14" s="27">
        <v>2.5499999999999998</v>
      </c>
      <c r="G14" s="26">
        <v>2</v>
      </c>
      <c r="H14" s="26">
        <v>3</v>
      </c>
      <c r="I14" s="26">
        <v>1</v>
      </c>
      <c r="J14" s="26">
        <v>2</v>
      </c>
      <c r="K14" s="26">
        <v>3</v>
      </c>
      <c r="L14" s="36"/>
      <c r="M14" s="26"/>
      <c r="N14" s="26">
        <v>1</v>
      </c>
      <c r="O14" s="26" t="s">
        <v>70</v>
      </c>
      <c r="P14" s="28">
        <v>1</v>
      </c>
      <c r="Q14" s="32" t="s">
        <v>89</v>
      </c>
      <c r="R14" s="30" t="s">
        <v>90</v>
      </c>
      <c r="S14" s="30">
        <v>600</v>
      </c>
      <c r="T14" s="33" t="s">
        <v>62</v>
      </c>
      <c r="U14" s="28">
        <v>300</v>
      </c>
      <c r="V14" s="28" t="s">
        <v>92</v>
      </c>
      <c r="W14" s="28" t="s">
        <v>98</v>
      </c>
      <c r="X14" s="34" t="s">
        <v>99</v>
      </c>
      <c r="Y14" s="21" t="s">
        <v>100</v>
      </c>
    </row>
    <row r="15" spans="1:26" ht="77.5">
      <c r="A15" s="1" t="s">
        <v>86</v>
      </c>
      <c r="B15" s="1" t="s">
        <v>27</v>
      </c>
      <c r="D15" s="25" t="s">
        <v>101</v>
      </c>
      <c r="E15" s="26" t="s">
        <v>102</v>
      </c>
      <c r="F15" s="27"/>
      <c r="G15" s="26"/>
      <c r="H15" s="26"/>
      <c r="I15" s="26"/>
      <c r="J15" s="26"/>
      <c r="K15" s="26"/>
      <c r="L15" s="26"/>
      <c r="M15" s="26"/>
      <c r="N15" s="26">
        <v>0</v>
      </c>
      <c r="O15" s="26" t="s">
        <v>70</v>
      </c>
      <c r="P15" s="28">
        <v>20</v>
      </c>
      <c r="Q15" s="32" t="s">
        <v>103</v>
      </c>
      <c r="R15" s="30" t="s">
        <v>104</v>
      </c>
      <c r="S15" s="30" t="s">
        <v>27</v>
      </c>
      <c r="T15" s="33" t="s">
        <v>105</v>
      </c>
      <c r="U15" s="28" t="s">
        <v>27</v>
      </c>
      <c r="V15" s="28" t="s">
        <v>27</v>
      </c>
      <c r="W15" s="28" t="s">
        <v>106</v>
      </c>
      <c r="X15" s="28" t="s">
        <v>107</v>
      </c>
      <c r="Y15" s="37" t="s">
        <v>108</v>
      </c>
      <c r="Z15" s="35" t="s">
        <v>109</v>
      </c>
    </row>
    <row r="16" spans="1:26">
      <c r="D16" s="16"/>
      <c r="F16" s="11"/>
      <c r="Q16" s="12"/>
      <c r="R16" s="13"/>
      <c r="S16" s="13"/>
      <c r="T16" s="14"/>
      <c r="Y16" s="15" t="s">
        <v>36</v>
      </c>
    </row>
    <row r="17" spans="4:26">
      <c r="D17" s="16"/>
      <c r="F17" s="11"/>
      <c r="Q17" s="12"/>
      <c r="R17" s="13"/>
      <c r="S17" s="13"/>
      <c r="T17" s="14"/>
      <c r="Y17" s="15" t="s">
        <v>36</v>
      </c>
    </row>
    <row r="18" spans="4:26">
      <c r="D18" s="16"/>
      <c r="F18" s="11"/>
      <c r="Q18" s="12"/>
      <c r="R18" s="13"/>
      <c r="S18" s="13"/>
      <c r="T18" s="14"/>
      <c r="Y18" s="15" t="s">
        <v>36</v>
      </c>
    </row>
    <row r="19" spans="4:26">
      <c r="D19" s="16"/>
      <c r="F19" s="11"/>
      <c r="Q19" s="12"/>
      <c r="R19" s="13"/>
      <c r="S19" s="13"/>
      <c r="T19" s="14"/>
      <c r="Y19" s="15" t="s">
        <v>36</v>
      </c>
    </row>
    <row r="20" spans="4:26">
      <c r="D20" s="16"/>
      <c r="F20" s="11"/>
      <c r="Q20" s="12"/>
      <c r="R20" s="13"/>
      <c r="S20" s="13"/>
      <c r="T20" s="14"/>
      <c r="Y20" s="15" t="s">
        <v>36</v>
      </c>
    </row>
    <row r="21" spans="4:26">
      <c r="D21" s="16"/>
      <c r="F21" s="11"/>
      <c r="Q21" s="12"/>
      <c r="R21" s="13"/>
      <c r="S21" s="13"/>
      <c r="T21" s="14"/>
      <c r="Y21" s="15" t="s">
        <v>36</v>
      </c>
    </row>
    <row r="22" spans="4:26">
      <c r="D22" s="16"/>
      <c r="F22" s="11"/>
      <c r="Q22" s="12"/>
      <c r="R22" s="13"/>
      <c r="S22" s="13"/>
      <c r="T22" s="14"/>
      <c r="Y22" s="15" t="s">
        <v>36</v>
      </c>
    </row>
    <row r="23" spans="4:26">
      <c r="D23" s="16"/>
      <c r="F23" s="11"/>
      <c r="Q23" s="12"/>
      <c r="R23" s="13"/>
      <c r="S23" s="13"/>
      <c r="T23" s="14"/>
      <c r="Y23" s="15" t="s">
        <v>36</v>
      </c>
    </row>
    <row r="24" spans="4:26">
      <c r="D24" s="16"/>
      <c r="F24" s="11"/>
      <c r="Q24" s="12"/>
      <c r="R24" s="13"/>
      <c r="S24" s="13"/>
      <c r="T24" s="14"/>
      <c r="Y24" s="15" t="s">
        <v>36</v>
      </c>
    </row>
    <row r="25" spans="4:26">
      <c r="D25" s="16"/>
      <c r="F25" s="11"/>
      <c r="L25" s="38"/>
      <c r="M25" s="38"/>
      <c r="O25" s="38"/>
      <c r="Q25" s="12"/>
      <c r="T25" s="14"/>
      <c r="Y25" s="15" t="s">
        <v>36</v>
      </c>
    </row>
    <row r="26" spans="4:26">
      <c r="D26" s="16"/>
      <c r="F26" s="11"/>
      <c r="L26" s="38"/>
      <c r="M26" s="38"/>
      <c r="O26" s="38"/>
      <c r="Q26" s="12"/>
      <c r="T26" s="14"/>
      <c r="Y26" s="15" t="s">
        <v>36</v>
      </c>
    </row>
    <row r="27" spans="4:26" ht="33.65" customHeight="1">
      <c r="D27" s="16"/>
      <c r="F27" s="11"/>
      <c r="L27" s="38"/>
      <c r="M27" s="38"/>
      <c r="O27" s="38"/>
      <c r="Q27" s="12"/>
      <c r="T27" s="14"/>
      <c r="Y27" s="39" t="s">
        <v>36</v>
      </c>
    </row>
    <row r="28" spans="4:26" ht="33.65" hidden="1" customHeight="1">
      <c r="D28" s="16"/>
      <c r="F28" s="11"/>
      <c r="L28" s="38"/>
      <c r="M28" s="38"/>
      <c r="O28" s="38"/>
      <c r="Q28" s="40"/>
      <c r="R28" s="41"/>
      <c r="S28" s="41"/>
      <c r="T28" s="42"/>
      <c r="U28" s="41"/>
      <c r="V28" s="41"/>
      <c r="W28" s="41"/>
      <c r="X28" s="41"/>
      <c r="Y28" s="43"/>
      <c r="Z28" s="41"/>
    </row>
    <row r="29" spans="4:26" hidden="1">
      <c r="D29" s="16"/>
      <c r="F29" s="11"/>
      <c r="Q29" s="12"/>
      <c r="R29" s="13"/>
      <c r="S29" s="13"/>
      <c r="T29" s="14"/>
      <c r="Y29" s="15" t="s">
        <v>36</v>
      </c>
    </row>
    <row r="30" spans="4:26" hidden="1">
      <c r="D30" s="16"/>
      <c r="F30" s="11"/>
      <c r="Q30" s="12"/>
      <c r="R30" s="13"/>
      <c r="S30" s="13"/>
      <c r="T30" s="44"/>
      <c r="Y30" s="15" t="s">
        <v>36</v>
      </c>
    </row>
    <row r="31" spans="4:26" hidden="1">
      <c r="D31" s="16"/>
      <c r="F31" s="11"/>
      <c r="Q31" s="45"/>
      <c r="R31" s="13"/>
      <c r="S31" s="13"/>
      <c r="T31" s="44"/>
      <c r="Y31" s="15" t="s">
        <v>36</v>
      </c>
    </row>
    <row r="32" spans="4:26" hidden="1">
      <c r="D32" s="16"/>
      <c r="E32" s="38"/>
      <c r="F32" s="11"/>
      <c r="L32" s="38"/>
      <c r="M32" s="38"/>
      <c r="O32" s="38"/>
      <c r="Q32" s="12"/>
      <c r="T32" s="14"/>
    </row>
    <row r="33" spans="4:20" hidden="1">
      <c r="D33" s="16"/>
      <c r="F33" s="11"/>
      <c r="Q33" s="45"/>
      <c r="R33" s="13"/>
      <c r="S33" s="13"/>
      <c r="T33" s="14"/>
    </row>
    <row r="34" spans="4:20" hidden="1">
      <c r="D34" s="16"/>
      <c r="F34" s="11"/>
      <c r="Q34" s="45"/>
      <c r="R34" s="13"/>
      <c r="S34" s="13"/>
      <c r="T34" s="44"/>
    </row>
    <row r="35" spans="4:20" hidden="1">
      <c r="D35" s="16"/>
      <c r="F35" s="11"/>
      <c r="Q35" s="45"/>
      <c r="R35" s="13"/>
      <c r="S35" s="13"/>
      <c r="T35" s="44"/>
    </row>
    <row r="36" spans="4:20" hidden="1">
      <c r="D36" s="16"/>
      <c r="F36" s="11"/>
      <c r="Q36" s="45"/>
      <c r="R36" s="13"/>
      <c r="S36" s="13"/>
      <c r="T36" s="44"/>
    </row>
    <row r="37" spans="4:20" hidden="1" outlineLevel="1">
      <c r="D37" s="16"/>
      <c r="F37" s="11"/>
      <c r="Q37" s="45"/>
      <c r="R37" s="13"/>
      <c r="S37" s="13"/>
      <c r="T37" s="44"/>
    </row>
    <row r="38" spans="4:20" hidden="1" outlineLevel="1">
      <c r="D38" s="16"/>
      <c r="F38" s="11"/>
      <c r="Q38" s="12"/>
      <c r="R38" s="13"/>
      <c r="S38" s="13"/>
      <c r="T38" s="13"/>
    </row>
    <row r="39" spans="4:20" hidden="1" outlineLevel="1">
      <c r="D39" s="16"/>
      <c r="F39" s="11"/>
      <c r="Q39" s="12"/>
      <c r="R39" s="13"/>
      <c r="S39" s="13"/>
      <c r="T39" s="13"/>
    </row>
    <row r="40" spans="4:20" hidden="1" outlineLevel="1">
      <c r="D40" s="16"/>
      <c r="F40" s="11"/>
      <c r="Q40" s="12"/>
      <c r="R40" s="13"/>
      <c r="S40" s="13"/>
      <c r="T40" s="13"/>
    </row>
    <row r="41" spans="4:20" hidden="1" outlineLevel="1">
      <c r="D41" s="16"/>
      <c r="F41" s="11"/>
      <c r="Q41" s="12"/>
      <c r="R41" s="13"/>
      <c r="S41" s="13"/>
      <c r="T41" s="13"/>
    </row>
    <row r="42" spans="4:20" hidden="1" outlineLevel="1">
      <c r="D42" s="16"/>
      <c r="F42" s="11"/>
      <c r="Q42" s="12"/>
      <c r="R42" s="13"/>
      <c r="S42" s="13"/>
      <c r="T42" s="13"/>
    </row>
    <row r="43" spans="4:20" hidden="1" outlineLevel="1">
      <c r="D43" s="16"/>
      <c r="F43" s="11"/>
      <c r="Q43" s="12"/>
      <c r="R43" s="13"/>
      <c r="S43" s="13"/>
      <c r="T43" s="13"/>
    </row>
    <row r="44" spans="4:20" hidden="1" outlineLevel="1">
      <c r="D44" s="16"/>
      <c r="F44" s="11"/>
      <c r="Q44" s="12"/>
      <c r="R44" s="13"/>
      <c r="S44" s="13"/>
      <c r="T44" s="13"/>
    </row>
    <row r="45" spans="4:20" hidden="1" outlineLevel="1">
      <c r="D45" s="16"/>
      <c r="F45" s="11"/>
      <c r="Q45" s="12"/>
      <c r="R45" s="13"/>
      <c r="S45" s="13"/>
      <c r="T45" s="13"/>
    </row>
    <row r="46" spans="4:20" hidden="1" outlineLevel="1">
      <c r="D46" s="16"/>
      <c r="F46" s="11"/>
      <c r="Q46" s="12"/>
      <c r="R46" s="13"/>
      <c r="S46" s="13"/>
      <c r="T46" s="13"/>
    </row>
    <row r="47" spans="4:20" hidden="1" outlineLevel="1">
      <c r="D47" s="16"/>
      <c r="F47" s="11"/>
      <c r="Q47" s="12"/>
      <c r="R47" s="13"/>
      <c r="S47" s="13"/>
      <c r="T47" s="13"/>
    </row>
    <row r="48" spans="4:20" hidden="1" outlineLevel="1">
      <c r="D48" s="16"/>
      <c r="F48" s="11"/>
      <c r="Q48" s="12"/>
      <c r="R48" s="13"/>
      <c r="S48" s="13"/>
      <c r="T48" s="13"/>
    </row>
    <row r="49" spans="1:26" hidden="1" outlineLevel="1">
      <c r="D49" s="16"/>
      <c r="F49" s="11"/>
      <c r="Q49" s="12"/>
      <c r="R49" s="13"/>
      <c r="S49" s="13"/>
      <c r="T49" s="13"/>
    </row>
    <row r="50" spans="1:26" hidden="1" outlineLevel="1">
      <c r="D50" s="16"/>
      <c r="F50" s="11"/>
      <c r="Q50" s="12"/>
      <c r="R50" s="13"/>
      <c r="S50" s="13"/>
      <c r="T50" s="13"/>
    </row>
    <row r="51" spans="1:26" hidden="1" outlineLevel="1">
      <c r="D51" s="16"/>
      <c r="F51" s="11"/>
      <c r="Q51" s="12"/>
      <c r="R51" s="13"/>
      <c r="S51" s="13"/>
      <c r="T51" s="13"/>
    </row>
    <row r="52" spans="1:26" hidden="1" outlineLevel="1">
      <c r="D52" s="16"/>
      <c r="F52" s="11"/>
      <c r="Q52" s="12"/>
      <c r="R52" s="13"/>
      <c r="S52" s="13"/>
      <c r="T52" s="13"/>
    </row>
    <row r="53" spans="1:26" hidden="1" outlineLevel="1">
      <c r="D53" s="16"/>
      <c r="F53" s="11"/>
      <c r="Q53" s="12"/>
      <c r="R53" s="13"/>
      <c r="S53" s="13"/>
      <c r="T53" s="13"/>
    </row>
    <row r="54" spans="1:26" hidden="1" outlineLevel="1">
      <c r="D54" s="16"/>
      <c r="F54" s="11"/>
      <c r="Q54" s="12"/>
      <c r="R54" s="13"/>
      <c r="S54" s="13"/>
      <c r="T54" s="13"/>
    </row>
    <row r="55" spans="1:26" hidden="1" outlineLevel="1">
      <c r="D55" s="16"/>
      <c r="F55" s="11"/>
      <c r="Q55" s="12"/>
      <c r="R55" s="13"/>
      <c r="S55" s="13"/>
      <c r="T55" s="13"/>
    </row>
    <row r="56" spans="1:26" hidden="1" outlineLevel="1">
      <c r="D56" s="16"/>
      <c r="F56" s="11"/>
      <c r="Q56" s="12"/>
      <c r="R56" s="13"/>
      <c r="S56" s="13"/>
      <c r="T56" s="13"/>
    </row>
    <row r="57" spans="1:26" hidden="1" outlineLevel="1">
      <c r="D57" s="16"/>
      <c r="F57" s="11"/>
      <c r="Q57" s="12"/>
      <c r="R57" s="13"/>
      <c r="S57" s="13"/>
      <c r="T57" s="13"/>
    </row>
    <row r="58" spans="1:26" hidden="1" outlineLevel="1">
      <c r="D58" s="16"/>
      <c r="F58" s="11"/>
      <c r="Q58" s="12"/>
      <c r="R58" s="13"/>
      <c r="S58" s="13"/>
      <c r="T58" s="13"/>
    </row>
    <row r="59" spans="1:26" s="46" customFormat="1" hidden="1" outlineLevel="1">
      <c r="A59" s="1"/>
      <c r="B59" s="1"/>
      <c r="C59" s="1"/>
      <c r="D59" s="16"/>
      <c r="E59" s="2"/>
      <c r="F59" s="11"/>
      <c r="G59" s="2"/>
      <c r="H59" s="2"/>
      <c r="I59" s="2"/>
      <c r="J59" s="2"/>
      <c r="K59" s="2"/>
      <c r="L59" s="2"/>
      <c r="M59" s="2"/>
      <c r="N59" s="2"/>
      <c r="O59" s="2"/>
      <c r="P59" s="1"/>
      <c r="Q59" s="12"/>
      <c r="R59" s="13"/>
      <c r="S59" s="13"/>
      <c r="T59" s="13"/>
      <c r="U59" s="1"/>
      <c r="V59" s="1"/>
      <c r="W59" s="1"/>
      <c r="X59" s="1"/>
      <c r="Y59" s="1"/>
      <c r="Z59" s="1"/>
    </row>
    <row r="60" spans="1:26" s="47" customFormat="1" hidden="1" outlineLevel="1">
      <c r="A60" s="1"/>
      <c r="B60" s="1"/>
      <c r="C60" s="1"/>
      <c r="D60" s="16"/>
      <c r="E60" s="2"/>
      <c r="F60" s="11"/>
      <c r="G60" s="2"/>
      <c r="H60" s="2"/>
      <c r="I60" s="2"/>
      <c r="J60" s="2"/>
      <c r="K60" s="2"/>
      <c r="L60" s="2"/>
      <c r="M60" s="2"/>
      <c r="N60" s="2"/>
      <c r="O60" s="2"/>
      <c r="P60" s="1"/>
      <c r="Q60" s="12"/>
      <c r="R60" s="13"/>
      <c r="S60" s="13"/>
      <c r="T60" s="13"/>
      <c r="U60" s="1"/>
      <c r="V60" s="1"/>
      <c r="W60" s="1"/>
      <c r="X60" s="1"/>
      <c r="Y60" s="1"/>
      <c r="Z60" s="1"/>
    </row>
    <row r="61" spans="1:26" s="47" customFormat="1" hidden="1" outlineLevel="1">
      <c r="A61" s="1"/>
      <c r="B61" s="1"/>
      <c r="C61" s="1"/>
      <c r="D61" s="16"/>
      <c r="E61" s="2"/>
      <c r="F61" s="11"/>
      <c r="G61" s="2"/>
      <c r="H61" s="2"/>
      <c r="I61" s="2"/>
      <c r="J61" s="2"/>
      <c r="K61" s="2"/>
      <c r="L61" s="2"/>
      <c r="M61" s="2"/>
      <c r="N61" s="2"/>
      <c r="O61" s="2"/>
      <c r="P61" s="1"/>
      <c r="Q61" s="12"/>
      <c r="R61" s="13"/>
      <c r="S61" s="13"/>
      <c r="T61" s="13"/>
      <c r="U61" s="1"/>
      <c r="V61" s="1"/>
      <c r="W61" s="1"/>
      <c r="X61" s="1"/>
      <c r="Y61" s="1"/>
      <c r="Z61" s="1"/>
    </row>
    <row r="62" spans="1:26" s="47" customFormat="1" hidden="1" outlineLevel="1">
      <c r="A62" s="1"/>
      <c r="B62" s="1"/>
      <c r="C62" s="1"/>
      <c r="D62" s="16"/>
      <c r="E62" s="2"/>
      <c r="F62" s="11"/>
      <c r="G62" s="2"/>
      <c r="H62" s="2"/>
      <c r="I62" s="2"/>
      <c r="J62" s="2"/>
      <c r="K62" s="2"/>
      <c r="L62" s="2"/>
      <c r="M62" s="2"/>
      <c r="N62" s="2"/>
      <c r="O62" s="2"/>
      <c r="P62" s="1"/>
      <c r="Q62" s="12"/>
      <c r="R62" s="13"/>
      <c r="S62" s="13"/>
      <c r="T62" s="13"/>
      <c r="U62" s="1"/>
      <c r="V62" s="1"/>
      <c r="W62" s="1"/>
      <c r="X62" s="1"/>
      <c r="Y62" s="1"/>
      <c r="Z62" s="1"/>
    </row>
    <row r="63" spans="1:26" hidden="1" outlineLevel="1">
      <c r="D63" s="16"/>
      <c r="F63" s="11"/>
      <c r="Q63" s="12"/>
      <c r="R63" s="13"/>
      <c r="S63" s="13"/>
      <c r="T63" s="13"/>
    </row>
    <row r="64" spans="1:26" hidden="1" outlineLevel="1">
      <c r="D64" s="16"/>
      <c r="F64" s="11"/>
      <c r="Q64" s="12"/>
      <c r="R64" s="13"/>
      <c r="S64" s="13"/>
      <c r="T64" s="13"/>
    </row>
    <row r="65" spans="4:20" hidden="1" outlineLevel="1">
      <c r="D65" s="16"/>
      <c r="F65" s="11"/>
      <c r="Q65" s="12"/>
      <c r="R65" s="13"/>
      <c r="S65" s="13"/>
      <c r="T65" s="13"/>
    </row>
    <row r="66" spans="4:20" hidden="1" outlineLevel="1">
      <c r="D66" s="16"/>
      <c r="F66" s="11"/>
      <c r="Q66" s="12"/>
      <c r="R66" s="13"/>
      <c r="S66" s="13"/>
      <c r="T66" s="13"/>
    </row>
    <row r="67" spans="4:20" hidden="1" outlineLevel="1">
      <c r="D67" s="16"/>
      <c r="F67" s="11"/>
      <c r="Q67" s="12"/>
      <c r="R67" s="13"/>
      <c r="S67" s="13"/>
      <c r="T67" s="13"/>
    </row>
    <row r="68" spans="4:20" hidden="1" outlineLevel="1">
      <c r="D68" s="16"/>
      <c r="F68" s="11"/>
      <c r="Q68" s="12"/>
      <c r="R68" s="13"/>
      <c r="S68" s="13"/>
      <c r="T68" s="13"/>
    </row>
    <row r="69" spans="4:20" hidden="1" outlineLevel="1">
      <c r="D69" s="16"/>
      <c r="F69" s="11"/>
      <c r="Q69" s="12"/>
      <c r="R69" s="13"/>
      <c r="S69" s="13"/>
      <c r="T69" s="13"/>
    </row>
    <row r="70" spans="4:20" hidden="1" outlineLevel="1">
      <c r="D70" s="16"/>
      <c r="F70" s="11"/>
      <c r="Q70" s="12"/>
      <c r="R70" s="13"/>
      <c r="S70" s="13"/>
      <c r="T70" s="13"/>
    </row>
    <row r="71" spans="4:20" hidden="1" outlineLevel="1">
      <c r="D71" s="16"/>
      <c r="F71" s="11"/>
      <c r="Q71" s="12"/>
      <c r="R71" s="13"/>
      <c r="S71" s="13"/>
      <c r="T71" s="13"/>
    </row>
    <row r="72" spans="4:20" hidden="1" outlineLevel="1">
      <c r="D72" s="16"/>
      <c r="F72" s="11"/>
      <c r="Q72" s="12"/>
      <c r="R72" s="13"/>
      <c r="S72" s="13"/>
      <c r="T72" s="13"/>
    </row>
    <row r="73" spans="4:20" hidden="1" outlineLevel="1">
      <c r="D73" s="16"/>
      <c r="F73" s="11"/>
      <c r="Q73" s="12"/>
      <c r="R73" s="13"/>
      <c r="S73" s="13"/>
      <c r="T73" s="13"/>
    </row>
    <row r="74" spans="4:20" hidden="1" outlineLevel="1">
      <c r="D74" s="16"/>
      <c r="F74" s="11"/>
      <c r="Q74" s="12"/>
      <c r="R74" s="13"/>
      <c r="S74" s="13"/>
      <c r="T74" s="13"/>
    </row>
    <row r="75" spans="4:20" hidden="1" outlineLevel="1">
      <c r="D75" s="16"/>
      <c r="F75" s="11"/>
      <c r="Q75" s="12"/>
      <c r="R75" s="13"/>
      <c r="S75" s="13"/>
      <c r="T75" s="13"/>
    </row>
    <row r="76" spans="4:20" hidden="1" outlineLevel="1">
      <c r="D76" s="16"/>
      <c r="F76" s="11"/>
      <c r="Q76" s="12"/>
      <c r="R76" s="13"/>
      <c r="S76" s="13"/>
      <c r="T76" s="13"/>
    </row>
    <row r="77" spans="4:20" hidden="1" outlineLevel="1">
      <c r="D77" s="16"/>
      <c r="F77" s="11"/>
      <c r="Q77" s="12"/>
      <c r="R77" s="13"/>
      <c r="S77" s="13"/>
      <c r="T77" s="13"/>
    </row>
    <row r="78" spans="4:20" hidden="1" outlineLevel="1">
      <c r="D78" s="16"/>
      <c r="F78" s="11"/>
      <c r="Q78" s="12"/>
      <c r="R78" s="13"/>
      <c r="S78" s="13"/>
      <c r="T78" s="13"/>
    </row>
    <row r="79" spans="4:20" hidden="1" outlineLevel="1">
      <c r="D79" s="16"/>
      <c r="F79" s="11"/>
      <c r="Q79" s="12"/>
      <c r="R79" s="13"/>
      <c r="S79" s="13"/>
      <c r="T79" s="13"/>
    </row>
    <row r="80" spans="4:20" hidden="1" outlineLevel="1">
      <c r="D80" s="16"/>
      <c r="F80" s="11"/>
      <c r="Q80" s="12"/>
      <c r="R80" s="13"/>
      <c r="S80" s="13"/>
      <c r="T80" s="13"/>
    </row>
    <row r="81" spans="4:20" hidden="1" outlineLevel="1">
      <c r="D81" s="16"/>
      <c r="F81" s="11"/>
      <c r="Q81" s="12"/>
      <c r="R81" s="13"/>
      <c r="S81" s="13"/>
      <c r="T81" s="13"/>
    </row>
    <row r="82" spans="4:20" hidden="1" outlineLevel="1">
      <c r="D82" s="16"/>
      <c r="F82" s="11"/>
      <c r="Q82" s="12"/>
      <c r="R82" s="13"/>
      <c r="S82" s="13"/>
      <c r="T82" s="13"/>
    </row>
    <row r="83" spans="4:20" hidden="1" outlineLevel="1">
      <c r="D83" s="16"/>
      <c r="F83" s="11"/>
      <c r="Q83" s="12"/>
      <c r="R83" s="13"/>
      <c r="S83" s="13"/>
      <c r="T83" s="13"/>
    </row>
    <row r="84" spans="4:20" hidden="1" outlineLevel="1">
      <c r="D84" s="16"/>
      <c r="F84" s="11"/>
      <c r="Q84" s="12"/>
      <c r="R84" s="13"/>
      <c r="S84" s="13"/>
      <c r="T84" s="13"/>
    </row>
    <row r="85" spans="4:20" hidden="1" outlineLevel="1">
      <c r="D85" s="16"/>
      <c r="F85" s="11"/>
      <c r="Q85" s="12"/>
      <c r="R85" s="13"/>
      <c r="S85" s="13"/>
      <c r="T85" s="13"/>
    </row>
    <row r="86" spans="4:20" hidden="1" outlineLevel="1">
      <c r="D86" s="16"/>
      <c r="F86" s="11"/>
      <c r="Q86" s="12"/>
      <c r="R86" s="13"/>
      <c r="S86" s="13"/>
      <c r="T86" s="13"/>
    </row>
    <row r="87" spans="4:20" hidden="1" outlineLevel="1">
      <c r="D87" s="16"/>
      <c r="F87" s="11"/>
      <c r="Q87" s="12"/>
      <c r="R87" s="13"/>
      <c r="S87" s="13"/>
      <c r="T87" s="13"/>
    </row>
    <row r="88" spans="4:20" hidden="1" outlineLevel="1">
      <c r="D88" s="16"/>
      <c r="F88" s="11"/>
      <c r="Q88" s="12"/>
      <c r="R88" s="13"/>
      <c r="S88" s="13"/>
      <c r="T88" s="13"/>
    </row>
    <row r="89" spans="4:20" hidden="1" outlineLevel="1">
      <c r="D89" s="16"/>
      <c r="F89" s="11"/>
      <c r="Q89" s="12"/>
      <c r="R89" s="13"/>
      <c r="S89" s="13"/>
      <c r="T89" s="13"/>
    </row>
    <row r="90" spans="4:20" hidden="1" outlineLevel="1">
      <c r="D90" s="16"/>
      <c r="F90" s="11"/>
      <c r="Q90" s="12"/>
      <c r="R90" s="13"/>
      <c r="S90" s="13"/>
      <c r="T90" s="13"/>
    </row>
    <row r="91" spans="4:20" hidden="1" outlineLevel="1">
      <c r="D91" s="16"/>
      <c r="F91" s="11"/>
      <c r="Q91" s="12"/>
      <c r="R91" s="13"/>
      <c r="S91" s="13"/>
      <c r="T91" s="13"/>
    </row>
    <row r="92" spans="4:20" hidden="1" outlineLevel="1">
      <c r="D92" s="16"/>
      <c r="F92" s="11"/>
      <c r="Q92" s="12"/>
      <c r="R92" s="13"/>
      <c r="S92" s="13"/>
      <c r="T92" s="13"/>
    </row>
    <row r="93" spans="4:20" hidden="1" outlineLevel="1">
      <c r="D93" s="16"/>
      <c r="F93" s="11"/>
      <c r="Q93" s="12"/>
      <c r="R93" s="13"/>
      <c r="S93" s="13"/>
      <c r="T93" s="13"/>
    </row>
    <row r="94" spans="4:20" hidden="1" outlineLevel="1">
      <c r="D94" s="16"/>
      <c r="F94" s="11"/>
      <c r="Q94" s="12"/>
      <c r="R94" s="13"/>
      <c r="S94" s="13"/>
      <c r="T94" s="13"/>
    </row>
    <row r="95" spans="4:20" hidden="1" outlineLevel="1">
      <c r="D95" s="16"/>
      <c r="F95" s="11"/>
      <c r="Q95" s="12"/>
      <c r="R95" s="13"/>
      <c r="S95" s="13"/>
      <c r="T95" s="13"/>
    </row>
    <row r="96" spans="4:20" hidden="1" outlineLevel="1">
      <c r="D96" s="16"/>
      <c r="F96" s="11"/>
      <c r="Q96" s="12"/>
      <c r="R96" s="13"/>
      <c r="S96" s="13"/>
      <c r="T96" s="13"/>
    </row>
    <row r="97" spans="4:20" hidden="1" outlineLevel="1">
      <c r="D97" s="16"/>
      <c r="F97" s="11"/>
      <c r="Q97" s="12"/>
      <c r="R97" s="13"/>
      <c r="S97" s="13"/>
      <c r="T97" s="13"/>
    </row>
    <row r="98" spans="4:20" hidden="1" outlineLevel="1">
      <c r="D98" s="16"/>
      <c r="F98" s="11"/>
      <c r="Q98" s="12"/>
      <c r="R98" s="13"/>
      <c r="S98" s="13"/>
      <c r="T98" s="13"/>
    </row>
    <row r="99" spans="4:20" hidden="1" outlineLevel="1">
      <c r="D99" s="16"/>
      <c r="F99" s="11"/>
      <c r="Q99" s="12"/>
      <c r="R99" s="13"/>
      <c r="S99" s="13"/>
      <c r="T99" s="13"/>
    </row>
    <row r="100" spans="4:20" hidden="1" outlineLevel="1">
      <c r="D100" s="16"/>
      <c r="F100" s="11"/>
      <c r="Q100" s="12"/>
      <c r="R100" s="13"/>
      <c r="S100" s="13"/>
      <c r="T100" s="13"/>
    </row>
    <row r="101" spans="4:20" hidden="1" outlineLevel="1">
      <c r="D101" s="16"/>
      <c r="F101" s="11"/>
      <c r="Q101" s="12"/>
      <c r="R101" s="13"/>
      <c r="S101" s="13"/>
      <c r="T101" s="13"/>
    </row>
    <row r="102" spans="4:20" hidden="1" outlineLevel="1">
      <c r="D102" s="16"/>
      <c r="F102" s="11"/>
      <c r="Q102" s="12"/>
      <c r="R102" s="13"/>
      <c r="S102" s="13"/>
      <c r="T102" s="13"/>
    </row>
    <row r="103" spans="4:20" hidden="1" outlineLevel="1">
      <c r="D103" s="16"/>
      <c r="F103" s="11"/>
      <c r="Q103" s="12"/>
      <c r="R103" s="13"/>
      <c r="S103" s="13"/>
      <c r="T103" s="13"/>
    </row>
    <row r="104" spans="4:20" hidden="1" outlineLevel="1">
      <c r="D104" s="16"/>
      <c r="F104" s="11"/>
      <c r="Q104" s="12"/>
      <c r="R104" s="13"/>
      <c r="S104" s="13"/>
      <c r="T104" s="13"/>
    </row>
    <row r="105" spans="4:20" hidden="1" outlineLevel="1">
      <c r="D105" s="16"/>
      <c r="F105" s="11"/>
      <c r="Q105" s="12"/>
      <c r="R105" s="13"/>
      <c r="S105" s="13"/>
      <c r="T105" s="13"/>
    </row>
    <row r="106" spans="4:20" hidden="1" outlineLevel="1">
      <c r="D106" s="16"/>
      <c r="F106" s="11"/>
      <c r="Q106" s="12"/>
      <c r="R106" s="13"/>
      <c r="S106" s="13"/>
      <c r="T106" s="13"/>
    </row>
    <row r="107" spans="4:20" hidden="1" outlineLevel="1">
      <c r="D107" s="16"/>
      <c r="F107" s="11"/>
      <c r="Q107" s="12"/>
      <c r="R107" s="13"/>
      <c r="S107" s="13"/>
      <c r="T107" s="13"/>
    </row>
    <row r="108" spans="4:20" hidden="1" outlineLevel="1">
      <c r="D108" s="16"/>
      <c r="F108" s="11"/>
      <c r="Q108" s="12"/>
      <c r="R108" s="13"/>
      <c r="S108" s="13"/>
      <c r="T108" s="13"/>
    </row>
    <row r="109" spans="4:20" hidden="1" outlineLevel="1">
      <c r="D109" s="16"/>
      <c r="F109" s="11"/>
      <c r="Q109" s="12"/>
      <c r="R109" s="13"/>
      <c r="S109" s="13"/>
      <c r="T109" s="13"/>
    </row>
    <row r="110" spans="4:20" hidden="1" outlineLevel="1">
      <c r="D110" s="16"/>
      <c r="F110" s="11"/>
      <c r="Q110" s="12"/>
      <c r="R110" s="13"/>
      <c r="S110" s="13"/>
      <c r="T110" s="13"/>
    </row>
    <row r="111" spans="4:20" hidden="1" outlineLevel="1">
      <c r="D111" s="16"/>
      <c r="F111" s="11"/>
      <c r="Q111" s="12"/>
      <c r="R111" s="13"/>
      <c r="S111" s="13"/>
      <c r="T111" s="13"/>
    </row>
    <row r="112" spans="4:20" hidden="1" outlineLevel="1">
      <c r="D112" s="16"/>
      <c r="F112" s="11"/>
      <c r="Q112" s="12"/>
      <c r="R112" s="13"/>
      <c r="S112" s="13"/>
      <c r="T112" s="14"/>
    </row>
    <row r="113" spans="1:21" hidden="1" outlineLevel="1">
      <c r="D113" s="16"/>
      <c r="F113" s="11"/>
      <c r="Q113" s="12"/>
      <c r="R113" s="13"/>
      <c r="S113" s="13"/>
      <c r="T113" s="13"/>
    </row>
    <row r="114" spans="1:21" hidden="1" outlineLevel="1">
      <c r="D114" s="16"/>
      <c r="F114" s="11"/>
      <c r="Q114" s="12"/>
      <c r="R114" s="13"/>
      <c r="S114" s="13"/>
      <c r="T114" s="13"/>
    </row>
    <row r="115" spans="1:21" hidden="1" outlineLevel="1">
      <c r="D115" s="16"/>
      <c r="F115" s="11"/>
      <c r="Q115" s="12"/>
      <c r="R115" s="13"/>
      <c r="S115" s="13"/>
      <c r="T115" s="13"/>
    </row>
    <row r="116" spans="1:21" hidden="1" outlineLevel="1">
      <c r="D116" s="16" t="s">
        <v>110</v>
      </c>
      <c r="E116" s="2" t="s">
        <v>111</v>
      </c>
      <c r="F116" s="11">
        <f>AND($G116&gt;0,$H116&gt;0,$I116&gt;0,$J116&gt;0,$K116&gt;0)*SUMPRODUCT(G$2:K$2,G116:K116)</f>
        <v>0</v>
      </c>
      <c r="P116" s="1">
        <v>1</v>
      </c>
      <c r="Q116" s="12">
        <v>108.4</v>
      </c>
      <c r="R116" s="13"/>
      <c r="S116" s="13"/>
      <c r="T116" s="13"/>
    </row>
    <row r="117" spans="1:21" hidden="1" collapsed="1">
      <c r="Q117" s="12"/>
      <c r="R117" s="13"/>
      <c r="S117" s="13"/>
      <c r="T117" s="14"/>
    </row>
    <row r="118" spans="1:21" ht="28.5">
      <c r="A118" s="1" t="s">
        <v>112</v>
      </c>
      <c r="B118" s="1" t="s">
        <v>113</v>
      </c>
      <c r="D118" s="48" t="s">
        <v>79</v>
      </c>
      <c r="E118" s="49" t="s">
        <v>114</v>
      </c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13">
        <f>SUM(U9:U15)</f>
        <v>450</v>
      </c>
    </row>
    <row r="119" spans="1:21" ht="28.5">
      <c r="A119" s="1" t="s">
        <v>112</v>
      </c>
      <c r="B119" s="1" t="s">
        <v>113</v>
      </c>
      <c r="D119" s="48" t="s">
        <v>84</v>
      </c>
    </row>
    <row r="120" spans="1:21" ht="28.5">
      <c r="A120" s="1" t="s">
        <v>112</v>
      </c>
      <c r="B120" s="1" t="s">
        <v>113</v>
      </c>
      <c r="D120" s="48" t="s">
        <v>115</v>
      </c>
    </row>
    <row r="121" spans="1:21" ht="28.5">
      <c r="A121" s="1" t="s">
        <v>86</v>
      </c>
      <c r="B121" s="1" t="s">
        <v>116</v>
      </c>
      <c r="D121" s="48" t="s">
        <v>117</v>
      </c>
    </row>
  </sheetData>
  <protectedRanges>
    <protectedRange algorithmName="SHA-512" hashValue="lq/sgrXtNGaEijPJBABrCtkppqUjS98h9Y3WwpQQzn2nsDphoJ+LLOEbE8+cW18NcOLtZQnPFbiArLmZCEiwYw==" saltValue="El5xoxQl6xI7KOe95l6Nvw==" spinCount="100000" sqref="F4:F116" name="NonOpBESSorRenew Table" securityDescriptor="O:WDG:WDD:(A;;CC;;;WD)"/>
    <protectedRange algorithmName="SHA-512" hashValue="lq/sgrXtNGaEijPJBABrCtkppqUjS98h9Y3WwpQQzn2nsDphoJ+LLOEbE8+cW18NcOLtZQnPFbiArLmZCEiwYw==" saltValue="El5xoxQl6xI7KOe95l6Nvw==" spinCount="100000" sqref="G33:L36" name="NonOpBESSorRenew Table_1" securityDescriptor="O:WDG:WDD:(A;;CC;;;WD)"/>
  </protectedRanges>
  <autoFilter ref="A3:XEU27" xr:uid="{BC17A6B2-6A94-482B-B3FC-CB2E90C418DF}">
    <sortState xmlns:xlrd2="http://schemas.microsoft.com/office/spreadsheetml/2017/richdata2" ref="A4:XEU27">
      <sortCondition ref="C3:C27"/>
    </sortState>
  </autoFilter>
  <mergeCells count="1">
    <mergeCell ref="E118:T118"/>
  </mergeCells>
  <conditionalFormatting sqref="C4:C116">
    <cfRule type="cellIs" dxfId="0" priority="1" operator="lessThan">
      <formula>11</formula>
    </cfRule>
  </conditionalFormatting>
  <hyperlinks>
    <hyperlink ref="E5" location="'Alliance Energy Group'!A1" display="Alliance NY Portfolio" xr:uid="{FA7ED5FC-CD28-4266-8327-2DC8063EA64E}"/>
    <hyperlink ref="E13" location="'Alliance Energy Group'!A1" display="Alliance NY Portfolio" xr:uid="{3772895E-390B-48C3-9F63-BB72CA0B0CD4}"/>
  </hyperlinks>
  <pageMargins left="0.7" right="0.7" top="0.75" bottom="0.75" header="0.3" footer="0.3"/>
  <pageSetup scale="47" orientation="landscape" r:id="rId1"/>
  <colBreaks count="1" manualBreakCount="1">
    <brk id="24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Priority Summary</vt:lpstr>
      <vt:lpstr>'Priority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Olaleye, Abigail O.</dc:creator>
  <cp:lastModifiedBy>Olaleye, Abigail O.</cp:lastModifiedBy>
  <dcterms:created xsi:type="dcterms:W3CDTF">2025-12-24T06:53:33Z</dcterms:created>
  <dcterms:modified xsi:type="dcterms:W3CDTF">2025-12-24T06:54:39Z</dcterms:modified>
</cp:coreProperties>
</file>